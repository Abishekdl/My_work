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0eaf352fa4b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af3cdd4ccc194b51"/>
    <x:sheet xmlns:r="http://schemas.openxmlformats.org/officeDocument/2006/relationships" name="Backlog Summary" sheetId="2" r:id="Rd91d6e2d21904e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24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  <x:xf numFmtId="0" fontId="2" fillId="0" borderId="23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1" xfId="0" applyNumberFormat="1" applyFont="1" applyFill="1" applyBorder="1" applyAlignment="1">
      <x:alignment vertical="center" wrapText="1"/>
    </x:xf>
    <x:xf numFmtId="0" fontId="2" fillId="0" borderId="22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17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0" borderId="22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2" xfId="0" applyNumberFormat="1" applyFont="1" applyFill="1" applyBorder="1" applyAlignment="1">
      <x:alignment horizontal="center" vertical="top" wrapText="1"/>
    </x:xf>
    <x:xf numFmtId="0" fontId="2" fillId="0" borderId="14" xfId="0" applyNumberFormat="1" applyFont="1" applyFill="1" applyBorder="1" applyAlignment="1">
      <x:alignment horizontal="center" vertical="top" wrapText="1"/>
    </x:xf>
    <x:xf numFmtId="0" fontId="2" fillId="0" borderId="15" xfId="0" applyNumberFormat="1" applyFont="1" applyFill="1" applyBorder="1" applyAlignment="1">
      <x:alignment horizontal="center" vertical="top" wrapText="1"/>
    </x:xf>
    <x:xf numFmtId="0" fontId="2" fillId="0" borderId="17" xfId="0" applyNumberFormat="1" applyFont="1" applyFill="1" applyBorder="1" applyAlignment="1">
      <x:alignment horizontal="center" vertical="top" wrapText="1"/>
    </x:xf>
    <x:xf numFmtId="0" fontId="2" fillId="0" borderId="18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20" xfId="0" applyNumberFormat="1" applyFont="1" applyFill="1" applyBorder="1" applyAlignment="1">
      <x:alignment horizontal="center" vertical="top" wrapText="1"/>
    </x:xf>
    <x:xf numFmtId="0" fontId="2" fillId="0" borderId="22" xfId="0" applyNumberFormat="1" applyFont="1" applyFill="1" applyBorder="1" applyAlignment="1">
      <x:alignment horizontal="center" vertical="top" wrapText="1"/>
    </x:xf>
    <x:xf numFmtId="0" fontId="2" fillId="0" borderId="23" xfId="0" applyNumberFormat="1" applyFont="1" applyFill="1" applyBorder="1" applyAlignment="1">
      <x:alignment horizontal="center" vertical="top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5" xfId="0" applyNumberFormat="1" applyFont="1" applyFill="1" applyBorder="1" applyAlignment="1">
      <x:alignment horizontal="center" vertical="center" wrapText="1"/>
    </x:xf>
    <x:xf numFmtId="0" fontId="2" fillId="0" borderId="18" xfId="0" applyNumberFormat="1" applyFont="1" applyFill="1" applyBorder="1" applyAlignment="1">
      <x:alignment horizontal="center" vertical="center" wrapText="1"/>
    </x:xf>
    <x:xf numFmtId="0" fontId="2" fillId="0" borderId="20" xfId="0" applyNumberFormat="1" applyFont="1" applyFill="1" applyBorder="1" applyAlignment="1">
      <x:alignment horizontal="center" vertical="center" wrapText="1"/>
    </x:xf>
    <x:xf numFmtId="0" fontId="2" fillId="0" borderId="23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 applyAlignment="1">
      <x:alignment vertical="top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23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22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d757da9ffd48fb" /><Relationship Type="http://schemas.openxmlformats.org/officeDocument/2006/relationships/theme" Target="/xl/theme/theme1.xml" Id="R26e36e1621b34d13" /><Relationship Type="http://schemas.openxmlformats.org/officeDocument/2006/relationships/sharedStrings" Target="/xl/sharedStrings.xml" Id="Rdcc2196f70ac499d" /><Relationship Type="http://schemas.openxmlformats.org/officeDocument/2006/relationships/worksheet" Target="/xl/worksheets/sheet1.xml" Id="Raf3cdd4ccc194b51" /><Relationship Type="http://schemas.openxmlformats.org/officeDocument/2006/relationships/worksheet" Target="/xl/worksheets/sheet2.xml" Id="Rd91d6e2d21904e7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35d1e41f78c46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User Stories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Story Count</c:v>
          </c:tx>
          <c:cat>
            <c:strRef>
              <c:f>'Backlog Summary'!$A$9:$A$11</c:f>
              <c:strCache>
                <c:ptCount val="0"/>
              </c:strCache>
            </c:strRef>
          </c:cat>
          <c:val>
            <c:numRef>
              <c:f>'Backlog Summary'!$B$9:$B$11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5d1e41f78c465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ductBacklogTable" displayName="ProductBacklogTable" ref="A1:F59" headerRowCount="1">
  <x:tableColumns count="6">
    <x:tableColumn id="1" name="Feature"/>
    <x:tableColumn id="2" name="Story Number"/>
    <x:tableColumn id="3" name="Description (Card)"/>
    <x:tableColumn id="4" name="Acceptance Criteria (Confirmation)"/>
    <x:tableColumn id="5" name="Initial Size Estimate (SP)"/>
    <x:tableColumn id="6" name="Business 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6a72d3f04f641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9518db36aa74891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64" hidden="0" customWidth="1"/>
    <x:col min="4" max="4" width="68" hidden="0" customWidth="1"/>
    <x:col min="5" max="5" width="22" hidden="0" customWidth="1"/>
    <x:col min="6" max="6" width="18" hidden="0" customWidth="1"/>
  </x:cols>
  <x:sheetData>
    <x:row r="1" ht="34" customHeight="1">
      <x:c r="A1" s="13" t="str">
        <x:v>Feature</x:v>
      </x:c>
      <x:c r="B1" s="14" t="str">
        <x:v>Story Number</x:v>
      </x:c>
      <x:c r="C1" s="14" t="str">
        <x:v>Description (Card)</x:v>
      </x:c>
      <x:c r="D1" s="14" t="str">
        <x:v>Acceptance Criteria (Confirmation)</x:v>
      </x:c>
      <x:c r="E1" s="14" t="str">
        <x:v>Initial Size Estimate (SP)</x:v>
      </x:c>
      <x:c r="F1" s="15" t="str">
        <x:v>Business Priority</x:v>
      </x:c>
    </x:row>
    <x:row r="2" ht="58" customHeight="1">
      <x:c r="A2" s="120" t="str">
        <x:v>User Login</x:v>
      </x:c>
      <x:c r="B2" s="121" t="str">
        <x:v>US-AUTH-01</x:v>
      </x:c>
      <x:c r="C2" s="122" t="str">
        <x:v>As a registered user, I want to log in so that I can securely access the application.</x:v>
      </x:c>
      <x:c r="D2" s="122" t="str">
        <x:v>Valid users can log in; invalid credentials show an error; inactive users are blocked.</x:v>
      </x:c>
      <x:c r="E2" s="121" t="n">
        <x:v>3</x:v>
      </x:c>
      <x:c r="F2" s="123" t="str">
        <x:v>Critical</x:v>
      </x:c>
    </x:row>
    <x:row r="3" ht="58" customHeight="1">
      <x:c r="A3" s="86" t="str">
        <x:v>Role-Based Access</x:v>
      </x:c>
      <x:c r="B3" s="97" t="str">
        <x:v>US-AUTH-02</x:v>
      </x:c>
      <x:c r="C3" s="52" t="str">
        <x:v>As an administrator, I want to assign roles so that users access only authorised modules.</x:v>
      </x:c>
      <x:c r="D3" s="52" t="str">
        <x:v>Every user has a role; unauthorised pages and APIs are restricted; permissions are enforced on the frontend and backend.</x:v>
      </x:c>
      <x:c r="E3" s="97" t="n">
        <x:v>5</x:v>
      </x:c>
      <x:c r="F3" s="115" t="str">
        <x:v>Critical</x:v>
      </x:c>
    </x:row>
    <x:row r="4" ht="58" customHeight="1">
      <x:c r="A4" s="128" t="str">
        <x:v>Password Management</x:v>
      </x:c>
      <x:c r="B4" s="129" t="str">
        <x:v>US-AUTH-03</x:v>
      </x:c>
      <x:c r="C4" s="130" t="str">
        <x:v>As a user, I want to change or reset my password so that I can maintain account security.</x:v>
      </x:c>
      <x:c r="D4" s="130" t="str">
        <x:v>Password rules are validated; the reset token expires; the new password must differ from the current password.</x:v>
      </x:c>
      <x:c r="E4" s="129" t="n">
        <x:v>3</x:v>
      </x:c>
      <x:c r="F4" s="131" t="str">
        <x:v>High</x:v>
      </x:c>
    </x:row>
    <x:row r="5" ht="58" customHeight="1">
      <x:c r="A5" s="86" t="str">
        <x:v>User Management</x:v>
      </x:c>
      <x:c r="B5" s="97" t="str">
        <x:v>US-AUTH-04</x:v>
      </x:c>
      <x:c r="C5" s="52" t="str">
        <x:v>As an administrator, I want to create, update and deactivate users so that application access can be controlled.</x:v>
      </x:c>
      <x:c r="D5" s="52" t="str">
        <x:v>Email is unique; role and organisation are mandatory; deactivated users cannot log in.</x:v>
      </x:c>
      <x:c r="E5" s="97" t="n">
        <x:v>5</x:v>
      </x:c>
      <x:c r="F5" s="115" t="str">
        <x:v>Critical</x:v>
      </x:c>
    </x:row>
    <x:row r="6" ht="58" customHeight="1">
      <x:c r="A6" s="128" t="str">
        <x:v>Product Management</x:v>
      </x:c>
      <x:c r="B6" s="129" t="str">
        <x:v>US-MASTER-01</x:v>
      </x:c>
      <x:c r="C6" s="130" t="str">
        <x:v>As an administrator, I want to manage product details so that products can be used in procurement transactions.</x:v>
      </x:c>
      <x:c r="D6" s="130" t="str">
        <x:v>Product code is unique; product name, category and unit are mandatory; inactive products cannot be selected.</x:v>
      </x:c>
      <x:c r="E6" s="129" t="n">
        <x:v>3</x:v>
      </x:c>
      <x:c r="F6" s="131" t="str">
        <x:v>High</x:v>
      </x:c>
    </x:row>
    <x:row r="7" ht="58" customHeight="1">
      <x:c r="A7" s="86" t="str">
        <x:v>Category Management</x:v>
      </x:c>
      <x:c r="B7" s="97" t="str">
        <x:v>US-MASTER-02</x:v>
      </x:c>
      <x:c r="C7" s="52" t="str">
        <x:v>As an administrator, I want to manage product categories so that products and spending can be classified.</x:v>
      </x:c>
      <x:c r="D7" s="52" t="str">
        <x:v>Duplicate categories are prevented; category name is mandatory; inactive categories cannot be selected.</x:v>
      </x:c>
      <x:c r="E7" s="97" t="n">
        <x:v>2</x:v>
      </x:c>
      <x:c r="F7" s="115" t="str">
        <x:v>Medium</x:v>
      </x:c>
    </x:row>
    <x:row r="8" ht="58" customHeight="1">
      <x:c r="A8" s="128" t="str">
        <x:v>Supplier Management</x:v>
      </x:c>
      <x:c r="B8" s="129" t="str">
        <x:v>US-MASTER-03</x:v>
      </x:c>
      <x:c r="C8" s="130" t="str">
        <x:v>As an administrator, I want to register and manage suppliers so that approved suppliers can participate in RFQs.</x:v>
      </x:c>
      <x:c r="D8" s="130" t="str">
        <x:v>Supplier code and email are unique; mandatory supplier details are validated; only approved and active suppliers can participate.</x:v>
      </x:c>
      <x:c r="E8" s="129" t="n">
        <x:v>5</x:v>
      </x:c>
      <x:c r="F8" s="131" t="str">
        <x:v>Critical</x:v>
      </x:c>
    </x:row>
    <x:row r="9" ht="58" customHeight="1">
      <x:c r="A9" s="86" t="str">
        <x:v>Approval Configuration</x:v>
      </x:c>
      <x:c r="B9" s="97" t="str">
        <x:v>US-MASTER-04</x:v>
      </x:c>
      <x:c r="C9" s="52" t="str">
        <x:v>As an administrator, I want to configure approval levels so that purchase decisions follow company rules.</x:v>
      </x:c>
      <x:c r="D9" s="52" t="str">
        <x:v>Approval level is selected based on procurement amount; overlapping amount ranges are prevented; an approver is mandatory.</x:v>
      </x:c>
      <x:c r="E9" s="97" t="n">
        <x:v>5</x:v>
      </x:c>
      <x:c r="F9" s="115" t="str">
        <x:v>High</x:v>
      </x:c>
    </x:row>
    <x:row r="10" ht="58" customHeight="1">
      <x:c r="A10" s="128" t="str">
        <x:v>View Stock</x:v>
      </x:c>
      <x:c r="B10" s="129" t="str">
        <x:v>US-STOCK-01</x:v>
      </x:c>
      <x:c r="C10" s="130" t="str">
        <x:v>As an ordering team member, I want to view available stock so that unnecessary procurement can be avoided.</x:v>
      </x:c>
      <x:c r="D10" s="130" t="str">
        <x:v>Current, reserved and available quantities are shown; products can be searched; users see the latest stock balance.</x:v>
      </x:c>
      <x:c r="E10" s="129" t="n">
        <x:v>3</x:v>
      </x:c>
      <x:c r="F10" s="131" t="str">
        <x:v>High</x:v>
      </x:c>
    </x:row>
    <x:row r="11" ht="58" customHeight="1">
      <x:c r="A11" s="86" t="str">
        <x:v>Stock Shortage Identification</x:v>
      </x:c>
      <x:c r="B11" s="97" t="str">
        <x:v>US-STOCK-02</x:v>
      </x:c>
      <x:c r="C11" s="52" t="str">
        <x:v>As an ordering team member, I want the system to identify shortages so that I can procure only the required quantity.</x:v>
      </x:c>
      <x:c r="D11" s="52" t="str">
        <x:v>Required quantity is compared with available stock; shortage quantity is calculated automatically; negative procurement quantity is prevented.</x:v>
      </x:c>
      <x:c r="E11" s="97" t="n">
        <x:v>5</x:v>
      </x:c>
      <x:c r="F11" s="115" t="str">
        <x:v>Critical</x:v>
      </x:c>
    </x:row>
    <x:row r="12" ht="58" customHeight="1">
      <x:c r="A12" s="128" t="str">
        <x:v>Create Requirement</x:v>
      </x:c>
      <x:c r="B12" s="129" t="str">
        <x:v>US-REQ-01</x:v>
      </x:c>
      <x:c r="C12" s="130" t="str">
        <x:v>As an ordering team member, I want to create a procurement requirement so that required products can be purchased.</x:v>
      </x:c>
      <x:c r="D12" s="130" t="str">
        <x:v>Product, shortage quantity, required date and specification are mandatory; quantity must be greater than zero.</x:v>
      </x:c>
      <x:c r="E12" s="129" t="n">
        <x:v>5</x:v>
      </x:c>
      <x:c r="F12" s="131" t="str">
        <x:v>Critical</x:v>
      </x:c>
    </x:row>
    <x:row r="13" ht="58" customHeight="1">
      <x:c r="A13" s="86" t="str">
        <x:v>Save Draft Requirement</x:v>
      </x:c>
      <x:c r="B13" s="97" t="str">
        <x:v>US-REQ-02</x:v>
      </x:c>
      <x:c r="C13" s="52" t="str">
        <x:v>As an ordering team member, I want to save an incomplete requirement as a draft so that I can complete it later.</x:v>
      </x:c>
      <x:c r="D13" s="52" t="str">
        <x:v>A draft can be edited or deleted; draft requirements are not sent for review; the creator can reopen the draft.</x:v>
      </x:c>
      <x:c r="E13" s="97" t="n">
        <x:v>2</x:v>
      </x:c>
      <x:c r="F13" s="115" t="str">
        <x:v>Medium</x:v>
      </x:c>
    </x:row>
    <x:row r="14" ht="58" customHeight="1">
      <x:c r="A14" s="128" t="str">
        <x:v>Submit Requirement</x:v>
      </x:c>
      <x:c r="B14" s="129" t="str">
        <x:v>US-REQ-03</x:v>
      </x:c>
      <x:c r="C14" s="130" t="str">
        <x:v>As an ordering team member, I want to submit a completed requirement so that the procurement manager can review it.</x:v>
      </x:c>
      <x:c r="D14" s="130" t="str">
        <x:v>Only complete requirements can be submitted; the status changes to Submitted; the procurement manager receives a notification.</x:v>
      </x:c>
      <x:c r="E14" s="129" t="n">
        <x:v>3</x:v>
      </x:c>
      <x:c r="F14" s="131" t="str">
        <x:v>Critical</x:v>
      </x:c>
    </x:row>
    <x:row r="15" ht="58" customHeight="1">
      <x:c r="A15" s="86" t="str">
        <x:v>Review Requirement</x:v>
      </x:c>
      <x:c r="B15" s="97" t="str">
        <x:v>US-REQ-04</x:v>
      </x:c>
      <x:c r="C15" s="52" t="str">
        <x:v>As a procurement manager, I want to approve, reject or return a requirement so that only valid requests proceed.</x:v>
      </x:c>
      <x:c r="D15" s="52" t="str">
        <x:v>Only submitted requirements can be reviewed; rejection and return require comments; decision history is recorded.</x:v>
      </x:c>
      <x:c r="E15" s="97" t="n">
        <x:v>5</x:v>
      </x:c>
      <x:c r="F15" s="115" t="str">
        <x:v>Critical</x:v>
      </x:c>
    </x:row>
    <x:row r="16" ht="58" customHeight="1">
      <x:c r="A16" s="128" t="str">
        <x:v>Track Requirement</x:v>
      </x:c>
      <x:c r="B16" s="129" t="str">
        <x:v>US-REQ-05</x:v>
      </x:c>
      <x:c r="C16" s="130" t="str">
        <x:v>As an ordering team member, I want to track requirement status so that I know its current stage.</x:v>
      </x:c>
      <x:c r="D16" s="130" t="str">
        <x:v>The system displays Draft, Submitted, Approved, Rejected, RFQ Created, Ordered and Completed statuses; status history is visible.</x:v>
      </x:c>
      <x:c r="E16" s="129" t="n">
        <x:v>3</x:v>
      </x:c>
      <x:c r="F16" s="131" t="str">
        <x:v>High</x:v>
      </x:c>
    </x:row>
    <x:row r="17" ht="58" customHeight="1">
      <x:c r="A17" s="86" t="str">
        <x:v>Create RFQ</x:v>
      </x:c>
      <x:c r="B17" s="97" t="str">
        <x:v>US-RFQ-01</x:v>
      </x:c>
      <x:c r="C17" s="52" t="str">
        <x:v>As a procurement manager, I want to create an RFQ from an approved requirement so that supplier quotations can be collected.</x:v>
      </x:c>
      <x:c r="D17" s="52" t="str">
        <x:v>Only approved requirements can be used; the RFQ number is unique; deadline, item details and terms are mandatory.</x:v>
      </x:c>
      <x:c r="E17" s="97" t="n">
        <x:v>5</x:v>
      </x:c>
      <x:c r="F17" s="115" t="str">
        <x:v>Critical</x:v>
      </x:c>
    </x:row>
    <x:row r="18" ht="58" customHeight="1">
      <x:c r="A18" s="128" t="str">
        <x:v>Select Suppliers</x:v>
      </x:c>
      <x:c r="B18" s="129" t="str">
        <x:v>US-RFQ-02</x:v>
      </x:c>
      <x:c r="C18" s="130" t="str">
        <x:v>As a procurement manager, I want to select suppliers for an RFQ so that relevant suppliers receive the request.</x:v>
      </x:c>
      <x:c r="D18" s="130" t="str">
        <x:v>Only approved and active suppliers are selectable; at least one supplier is selected; duplicate supplier selections are prevented.</x:v>
      </x:c>
      <x:c r="E18" s="129" t="n">
        <x:v>3</x:v>
      </x:c>
      <x:c r="F18" s="131" t="str">
        <x:v>Critical</x:v>
      </x:c>
    </x:row>
    <x:row r="19" ht="58" customHeight="1">
      <x:c r="A19" s="86" t="str">
        <x:v>Publish RFQ</x:v>
      </x:c>
      <x:c r="B19" s="97" t="str">
        <x:v>US-RFQ-03</x:v>
      </x:c>
      <x:c r="C19" s="52" t="str">
        <x:v>As a procurement manager, I want to publish an RFQ so that selected suppliers can view and respond to it.</x:v>
      </x:c>
      <x:c r="D19" s="52" t="str">
        <x:v>Only complete RFQs can be published; core details cannot be changed after publication; invited suppliers receive notifications.</x:v>
      </x:c>
      <x:c r="E19" s="97" t="n">
        <x:v>3</x:v>
      </x:c>
      <x:c r="F19" s="115" t="str">
        <x:v>Critical</x:v>
      </x:c>
    </x:row>
    <x:row r="20" ht="58" customHeight="1">
      <x:c r="A20" s="128" t="str">
        <x:v>Close RFQ</x:v>
      </x:c>
      <x:c r="B20" s="129" t="str">
        <x:v>US-RFQ-04</x:v>
      </x:c>
      <x:c r="C20" s="130" t="str">
        <x:v>As a procurement manager, I want an RFQ to close at its deadline so that late quotations are prevented.</x:v>
      </x:c>
      <x:c r="D20" s="130" t="str">
        <x:v>Quotation submission is blocked after the deadline; RFQ status becomes Closed; submitted quotations remain available for evaluation.</x:v>
      </x:c>
      <x:c r="E20" s="129" t="n">
        <x:v>3</x:v>
      </x:c>
      <x:c r="F20" s="131" t="str">
        <x:v>High</x:v>
      </x:c>
    </x:row>
    <x:row r="21" ht="58" customHeight="1">
      <x:c r="A21" s="86" t="str">
        <x:v>Track Supplier Responses</x:v>
      </x:c>
      <x:c r="B21" s="97" t="str">
        <x:v>US-RFQ-05</x:v>
      </x:c>
      <x:c r="C21" s="52" t="str">
        <x:v>As a procurement manager, I want to monitor supplier responses so that I can follow up before the deadline.</x:v>
      </x:c>
      <x:c r="D21" s="52" t="str">
        <x:v>Invited, viewed, submitted and pending supplier counts are displayed; response details are updated when a supplier acts.</x:v>
      </x:c>
      <x:c r="E21" s="97" t="n">
        <x:v>3</x:v>
      </x:c>
      <x:c r="F21" s="115" t="str">
        <x:v>High</x:v>
      </x:c>
    </x:row>
    <x:row r="22" ht="58" customHeight="1">
      <x:c r="A22" s="128" t="str">
        <x:v>View RFQs</x:v>
      </x:c>
      <x:c r="B22" s="129" t="str">
        <x:v>US-QUO-01</x:v>
      </x:c>
      <x:c r="C22" s="130" t="str">
        <x:v>As a supplier, I want to view RFQs assigned to me so that I can decide whether to participate.</x:v>
      </x:c>
      <x:c r="D22" s="130" t="str">
        <x:v>The supplier sees only invited RFQs; open and closed statuses are displayed; complete RFQ information is available.</x:v>
      </x:c>
      <x:c r="E22" s="129" t="n">
        <x:v>3</x:v>
      </x:c>
      <x:c r="F22" s="131" t="str">
        <x:v>Critical</x:v>
      </x:c>
    </x:row>
    <x:row r="23" ht="58" customHeight="1">
      <x:c r="A23" s="86" t="str">
        <x:v>Submit Quotation</x:v>
      </x:c>
      <x:c r="B23" s="97" t="str">
        <x:v>US-QUO-02</x:v>
      </x:c>
      <x:c r="C23" s="52" t="str">
        <x:v>As a supplier, I want to submit a quotation so that my offer can be evaluated.</x:v>
      </x:c>
      <x:c r="D23" s="52" t="str">
        <x:v>Price, tax, delivery date and quotation validity are mandatory; total amount is calculated automatically; submission after the deadline is blocked.</x:v>
      </x:c>
      <x:c r="E23" s="97" t="n">
        <x:v>5</x:v>
      </x:c>
      <x:c r="F23" s="115" t="str">
        <x:v>Critical</x:v>
      </x:c>
    </x:row>
    <x:row r="24" ht="58" customHeight="1">
      <x:c r="A24" s="128" t="str">
        <x:v>Edit Quotation</x:v>
      </x:c>
      <x:c r="B24" s="129" t="str">
        <x:v>US-QUO-03</x:v>
      </x:c>
      <x:c r="C24" s="130" t="str">
        <x:v>As a supplier, I want to edit my quotation before the deadline so that I can correct my offer.</x:v>
      </x:c>
      <x:c r="D24" s="130" t="str">
        <x:v>Editing is allowed only before RFQ closure; mandatory fields are revalidated; changes are recorded in quotation history.</x:v>
      </x:c>
      <x:c r="E24" s="129" t="n">
        <x:v>3</x:v>
      </x:c>
      <x:c r="F24" s="131" t="str">
        <x:v>High</x:v>
      </x:c>
    </x:row>
    <x:row r="25" ht="58" customHeight="1">
      <x:c r="A25" s="86" t="str">
        <x:v>Withdraw Quotation</x:v>
      </x:c>
      <x:c r="B25" s="97" t="str">
        <x:v>US-QUO-04</x:v>
      </x:c>
      <x:c r="C25" s="52" t="str">
        <x:v>As a supplier, I want to withdraw my quotation before the deadline so that an invalid offer is not evaluated.</x:v>
      </x:c>
      <x:c r="D25" s="52" t="str">
        <x:v>Withdrawal is allowed only before closure; a withdrawal reason is mandatory; withdrawn quotations cannot be selected.</x:v>
      </x:c>
      <x:c r="E25" s="97" t="n">
        <x:v>2</x:v>
      </x:c>
      <x:c r="F25" s="115" t="str">
        <x:v>Medium</x:v>
      </x:c>
    </x:row>
    <x:row r="26" ht="58" customHeight="1">
      <x:c r="A26" s="128" t="str">
        <x:v>Compare Quotations</x:v>
      </x:c>
      <x:c r="B26" s="129" t="str">
        <x:v>US-EVAL-01</x:v>
      </x:c>
      <x:c r="C26" s="130" t="str">
        <x:v>As a procurement manager, I want to compare quotations so that I can identify the best offer.</x:v>
      </x:c>
      <x:c r="D26" s="130" t="str">
        <x:v>Price, delivery, quality score, supplier rating and total amount are displayed together; quotations can be sorted.</x:v>
      </x:c>
      <x:c r="E26" s="129" t="n">
        <x:v>5</x:v>
      </x:c>
      <x:c r="F26" s="131" t="str">
        <x:v>Critical</x:v>
      </x:c>
    </x:row>
    <x:row r="27" ht="58" customHeight="1">
      <x:c r="A27" s="86" t="str">
        <x:v>Configure Scoring Weights</x:v>
      </x:c>
      <x:c r="B27" s="97" t="str">
        <x:v>US-EVAL-02</x:v>
      </x:c>
      <x:c r="C27" s="52" t="str">
        <x:v>As an administrator, I want to configure scoring weights so that supplier evaluation follows company policy.</x:v>
      </x:c>
      <x:c r="D27" s="52" t="str">
        <x:v>Price, quality, delivery and performance weights total 100%; invalid or negative weights are prevented; changes are recorded.</x:v>
      </x:c>
      <x:c r="E27" s="97" t="n">
        <x:v>5</x:v>
      </x:c>
      <x:c r="F27" s="115" t="str">
        <x:v>High</x:v>
      </x:c>
    </x:row>
    <x:row r="28" ht="58" customHeight="1">
      <x:c r="A28" s="128" t="str">
        <x:v>Calculate Supplier Score</x:v>
      </x:c>
      <x:c r="B28" s="129" t="str">
        <x:v>US-EVAL-03</x:v>
      </x:c>
      <x:c r="C28" s="130" t="str">
        <x:v>As a procurement manager, I want supplier scores to be calculated automatically so that quotations are evaluated consistently.</x:v>
      </x:c>
      <x:c r="D28" s="130" t="str">
        <x:v>The score uses configured rule-based weights; calculation details are visible; the same inputs always produce the same score; no AI or ML is used.</x:v>
      </x:c>
      <x:c r="E28" s="129" t="n">
        <x:v>5</x:v>
      </x:c>
      <x:c r="F28" s="131" t="str">
        <x:v>Critical</x:v>
      </x:c>
    </x:row>
    <x:row r="29" ht="58" customHeight="1">
      <x:c r="A29" s="86" t="str">
        <x:v>Select Supplier</x:v>
      </x:c>
      <x:c r="B29" s="97" t="str">
        <x:v>US-EVAL-04</x:v>
      </x:c>
      <x:c r="C29" s="52" t="str">
        <x:v>As a procurement manager, I want to select a supplier quotation so that it can proceed for approval.</x:v>
      </x:c>
      <x:c r="D29" s="52" t="str">
        <x:v>Only valid submitted quotations can be selected; a selection reason is mandatory; the chosen quotation is linked to the approval request.</x:v>
      </x:c>
      <x:c r="E29" s="97" t="n">
        <x:v>3</x:v>
      </x:c>
      <x:c r="F29" s="115" t="str">
        <x:v>Critical</x:v>
      </x:c>
    </x:row>
    <x:row r="30" ht="58" customHeight="1">
      <x:c r="A30" s="128" t="str">
        <x:v>Submit Selection for Approval</x:v>
      </x:c>
      <x:c r="B30" s="129" t="str">
        <x:v>US-APP-01</x:v>
      </x:c>
      <x:c r="C30" s="130" t="str">
        <x:v>As a procurement manager, I want to submit the selected quotation for approval so that the purchase follows company policy.</x:v>
      </x:c>
      <x:c r="D30" s="130" t="str">
        <x:v>The selected quotation, score and comparison are attached; the correct approver is assigned; duplicate submissions are prevented.</x:v>
      </x:c>
      <x:c r="E30" s="129" t="n">
        <x:v>3</x:v>
      </x:c>
      <x:c r="F30" s="131" t="str">
        <x:v>Critical</x:v>
      </x:c>
    </x:row>
    <x:row r="31" ht="58" customHeight="1">
      <x:c r="A31" s="86" t="str">
        <x:v>Review Approval Request</x:v>
      </x:c>
      <x:c r="B31" s="97" t="str">
        <x:v>US-APP-02</x:v>
      </x:c>
      <x:c r="C31" s="52" t="str">
        <x:v>As an approver, I want to review the procurement decision so that I can verify the selected offer.</x:v>
      </x:c>
      <x:c r="D31" s="52" t="str">
        <x:v>The approver can view the requirement, RFQ, quotations, scores and selection reason; unauthorised users cannot review it.</x:v>
      </x:c>
      <x:c r="E31" s="97" t="n">
        <x:v>3</x:v>
      </x:c>
      <x:c r="F31" s="115" t="str">
        <x:v>Critical</x:v>
      </x:c>
    </x:row>
    <x:row r="32" ht="58" customHeight="1">
      <x:c r="A32" s="128" t="str">
        <x:v>Approve or Reject</x:v>
      </x:c>
      <x:c r="B32" s="129" t="str">
        <x:v>US-APP-03</x:v>
      </x:c>
      <x:c r="C32" s="130" t="str">
        <x:v>As an approver, I want to approve or reject the selection so that the procurement process can continue or be corrected.</x:v>
      </x:c>
      <x:c r="D32" s="130" t="str">
        <x:v>A rejection reason is mandatory; user, date, decision and comments are recorded; the procurement manager is notified.</x:v>
      </x:c>
      <x:c r="E32" s="129" t="n">
        <x:v>5</x:v>
      </x:c>
      <x:c r="F32" s="131" t="str">
        <x:v>Critical</x:v>
      </x:c>
    </x:row>
    <x:row r="33" ht="58" customHeight="1">
      <x:c r="A33" s="86" t="str">
        <x:v>View Approval History</x:v>
      </x:c>
      <x:c r="B33" s="97" t="str">
        <x:v>US-APP-04</x:v>
      </x:c>
      <x:c r="C33" s="52" t="str">
        <x:v>As an authorised user, I want to view approval history so that decisions are traceable.</x:v>
      </x:c>
      <x:c r="D33" s="52" t="str">
        <x:v>Approval history is read-only; decisions are displayed chronologically; approver, date, comments and status are shown.</x:v>
      </x:c>
      <x:c r="E33" s="97" t="n">
        <x:v>2</x:v>
      </x:c>
      <x:c r="F33" s="115" t="str">
        <x:v>High</x:v>
      </x:c>
    </x:row>
    <x:row r="34" ht="58" customHeight="1">
      <x:c r="A34" s="128" t="str">
        <x:v>Generate Purchase Order</x:v>
      </x:c>
      <x:c r="B34" s="129" t="str">
        <x:v>US-PO-01</x:v>
      </x:c>
      <x:c r="C34" s="130" t="str">
        <x:v>As a procurement manager, I want to generate a purchase order from an approved quotation so that the supplier can fulfil the order.</x:v>
      </x:c>
      <x:c r="D34" s="130" t="str">
        <x:v>A PO is generated only after approval; the PO number is unique; approved items, prices, taxes and terms are copied correctly.</x:v>
      </x:c>
      <x:c r="E34" s="129" t="n">
        <x:v>5</x:v>
      </x:c>
      <x:c r="F34" s="131" t="str">
        <x:v>Critical</x:v>
      </x:c>
    </x:row>
    <x:row r="35" ht="58" customHeight="1">
      <x:c r="A35" s="86" t="str">
        <x:v>Send Purchase Order</x:v>
      </x:c>
      <x:c r="B35" s="97" t="str">
        <x:v>US-PO-02</x:v>
      </x:c>
      <x:c r="C35" s="52" t="str">
        <x:v>As a procurement manager, I want to send the purchase order to the supplier so that the supplier receives the official order.</x:v>
      </x:c>
      <x:c r="D35" s="52" t="str">
        <x:v>Only generated POs can be sent; the sent date is recorded; the supplier receives an in-application notification.</x:v>
      </x:c>
      <x:c r="E35" s="97" t="n">
        <x:v>3</x:v>
      </x:c>
      <x:c r="F35" s="115" t="str">
        <x:v>Critical</x:v>
      </x:c>
    </x:row>
    <x:row r="36" ht="58" customHeight="1">
      <x:c r="A36" s="128" t="str">
        <x:v>Confirm Purchase Order</x:v>
      </x:c>
      <x:c r="B36" s="129" t="str">
        <x:v>US-PO-03</x:v>
      </x:c>
      <x:c r="C36" s="130" t="str">
        <x:v>As a supplier, I want to accept or reject a purchase order so that the company knows whether I can fulfil it.</x:v>
      </x:c>
      <x:c r="D36" s="130" t="str">
        <x:v>The supplier can respond only to assigned POs; rejection requires a reason; the procurement manager is notified.</x:v>
      </x:c>
      <x:c r="E36" s="129" t="n">
        <x:v>3</x:v>
      </x:c>
      <x:c r="F36" s="131" t="str">
        <x:v>High</x:v>
      </x:c>
    </x:row>
    <x:row r="37" ht="58" customHeight="1">
      <x:c r="A37" s="86" t="str">
        <x:v>Track Purchase Order</x:v>
      </x:c>
      <x:c r="B37" s="97" t="str">
        <x:v>US-PO-04</x:v>
      </x:c>
      <x:c r="C37" s="52" t="str">
        <x:v>As a procurement manager, I want to track purchase order status so that I can monitor order fulfilment.</x:v>
      </x:c>
      <x:c r="D37" s="52" t="str">
        <x:v>Status supports Created, Sent, Accepted, Partially Received, Received, Rejected and Closed; status changes are recorded.</x:v>
      </x:c>
      <x:c r="E37" s="97" t="n">
        <x:v>3</x:v>
      </x:c>
      <x:c r="F37" s="115" t="str">
        <x:v>High</x:v>
      </x:c>
    </x:row>
    <x:row r="38" ht="58" customHeight="1">
      <x:c r="A38" s="128" t="str">
        <x:v>Record Goods Receipt</x:v>
      </x:c>
      <x:c r="B38" s="129" t="str">
        <x:v>US-GRN-01</x:v>
      </x:c>
      <x:c r="C38" s="130" t="str">
        <x:v>As an inventory user, I want to record delivered goods so that deliveries can be tracked against the purchase order.</x:v>
      </x:c>
      <x:c r="D38" s="130" t="str">
        <x:v>A valid accepted PO is required; received quantity and delivery date are mandatory; the receipt is linked to the PO.</x:v>
      </x:c>
      <x:c r="E38" s="129" t="n">
        <x:v>5</x:v>
      </x:c>
      <x:c r="F38" s="131" t="str">
        <x:v>Critical</x:v>
      </x:c>
    </x:row>
    <x:row r="39" ht="58" customHeight="1">
      <x:c r="A39" s="86" t="str">
        <x:v>Handle Partial Delivery</x:v>
      </x:c>
      <x:c r="B39" s="97" t="str">
        <x:v>US-GRN-02</x:v>
      </x:c>
      <x:c r="C39" s="52" t="str">
        <x:v>As an inventory user, I want to record partial deliveries so that remaining quantities can be tracked.</x:v>
      </x:c>
      <x:c r="D39" s="52" t="str">
        <x:v>Received quantity cannot exceed pending quantity; the balance is calculated automatically; PO status becomes Partially Received when applicable.</x:v>
      </x:c>
      <x:c r="E39" s="97" t="n">
        <x:v>3</x:v>
      </x:c>
      <x:c r="F39" s="115" t="str">
        <x:v>High</x:v>
      </x:c>
    </x:row>
    <x:row r="40" ht="58" customHeight="1">
      <x:c r="A40" s="128" t="str">
        <x:v>Record Storage Location</x:v>
      </x:c>
      <x:c r="B40" s="129" t="str">
        <x:v>US-GRN-03</x:v>
      </x:c>
      <x:c r="C40" s="130" t="str">
        <x:v>As an inventory user, I want to record the storage location so that received products can be located easily.</x:v>
      </x:c>
      <x:c r="D40" s="130" t="str">
        <x:v>Warehouse and storage location are mandatory before stock update; only active locations can be selected.</x:v>
      </x:c>
      <x:c r="E40" s="129" t="n">
        <x:v>3</x:v>
      </x:c>
      <x:c r="F40" s="131" t="str">
        <x:v>High</x:v>
      </x:c>
    </x:row>
    <x:row r="41" ht="58" customHeight="1">
      <x:c r="A41" s="86" t="str">
        <x:v>Perform Quality Inspection</x:v>
      </x:c>
      <x:c r="B41" s="97" t="str">
        <x:v>US-QC-01</x:v>
      </x:c>
      <x:c r="C41" s="52" t="str">
        <x:v>As a quality user, I want to inspect received goods so that defective products are not added to available stock.</x:v>
      </x:c>
      <x:c r="D41" s="52" t="str">
        <x:v>Inspection result supports Accepted, Rejected and Partially Accepted; inspected quantities must equal received quantity; rejection comments are mandatory.</x:v>
      </x:c>
      <x:c r="E41" s="97" t="n">
        <x:v>5</x:v>
      </x:c>
      <x:c r="F41" s="115" t="str">
        <x:v>Critical</x:v>
      </x:c>
    </x:row>
    <x:row r="42" ht="58" customHeight="1">
      <x:c r="A42" s="128" t="str">
        <x:v>Record Rejected Goods</x:v>
      </x:c>
      <x:c r="B42" s="129" t="str">
        <x:v>US-QC-02</x:v>
      </x:c>
      <x:c r="C42" s="130" t="str">
        <x:v>As a quality user, I want to record rejected quantities so that they can be returned or replaced.</x:v>
      </x:c>
      <x:c r="D42" s="130" t="str">
        <x:v>Rejected quantity cannot exceed received quantity; rejection reason is recorded; rejected stock is excluded from available inventory.</x:v>
      </x:c>
      <x:c r="E42" s="129" t="n">
        <x:v>3</x:v>
      </x:c>
      <x:c r="F42" s="131" t="str">
        <x:v>High</x:v>
      </x:c>
    </x:row>
    <x:row r="43" ht="58" customHeight="1">
      <x:c r="A43" s="86" t="str">
        <x:v>Update Quality Performance</x:v>
      </x:c>
      <x:c r="B43" s="97" t="str">
        <x:v>US-QC-03</x:v>
      </x:c>
      <x:c r="C43" s="52" t="str">
        <x:v>As a quality user, I want supplier quality performance to be updated so that future supplier scoring uses accurate information.</x:v>
      </x:c>
      <x:c r="D43" s="52" t="str">
        <x:v>The inspection result is linked to supplier and PO; accepted and rejected quantities update supplier quality metrics.</x:v>
      </x:c>
      <x:c r="E43" s="97" t="n">
        <x:v>3</x:v>
      </x:c>
      <x:c r="F43" s="115" t="str">
        <x:v>High</x:v>
      </x:c>
    </x:row>
    <x:row r="44" ht="58" customHeight="1">
      <x:c r="A44" s="128" t="str">
        <x:v>Update Accepted Stock</x:v>
      </x:c>
      <x:c r="B44" s="129" t="str">
        <x:v>US-INV-01</x:v>
      </x:c>
      <x:c r="C44" s="130" t="str">
        <x:v>As an inventory user, I want accepted quantities to be added to stock so that inventory remains accurate.</x:v>
      </x:c>
      <x:c r="D44" s="130" t="str">
        <x:v>Only quality-approved quantity is added; the correct product and location are updated; the inventory transaction is recorded.</x:v>
      </x:c>
      <x:c r="E44" s="129" t="n">
        <x:v>5</x:v>
      </x:c>
      <x:c r="F44" s="131" t="str">
        <x:v>Critical</x:v>
      </x:c>
    </x:row>
    <x:row r="45" ht="58" customHeight="1">
      <x:c r="A45" s="86" t="str">
        <x:v>View Inventory Transactions</x:v>
      </x:c>
      <x:c r="B45" s="97" t="str">
        <x:v>US-INV-02</x:v>
      </x:c>
      <x:c r="C45" s="52" t="str">
        <x:v>As an inventory user, I want to view stock transactions so that stock movements can be traced.</x:v>
      </x:c>
      <x:c r="D45" s="52" t="str">
        <x:v>Product, quantity, transaction type, user, date and reference are shown; users can filter by product and date.</x:v>
      </x:c>
      <x:c r="E45" s="97" t="n">
        <x:v>3</x:v>
      </x:c>
      <x:c r="F45" s="115" t="str">
        <x:v>High</x:v>
      </x:c>
    </x:row>
    <x:row r="46" ht="58" customHeight="1">
      <x:c r="A46" s="128" t="str">
        <x:v>Low Stock Alert</x:v>
      </x:c>
      <x:c r="B46" s="129" t="str">
        <x:v>US-INV-03</x:v>
      </x:c>
      <x:c r="C46" s="130" t="str">
        <x:v>As an inventory user, I want to receive low-stock alerts so that shortages can be addressed early.</x:v>
      </x:c>
      <x:c r="D46" s="130" t="str">
        <x:v>An alert is generated when available stock reaches the configured reorder level; duplicate active alerts are prevented.</x:v>
      </x:c>
      <x:c r="E46" s="129" t="n">
        <x:v>3</x:v>
      </x:c>
      <x:c r="F46" s="131" t="str">
        <x:v>High</x:v>
      </x:c>
    </x:row>
    <x:row r="47" ht="58" customHeight="1">
      <x:c r="A47" s="86" t="str">
        <x:v>Submit Invoice</x:v>
      </x:c>
      <x:c r="B47" s="97" t="str">
        <x:v>US-FIN-01</x:v>
      </x:c>
      <x:c r="C47" s="52" t="str">
        <x:v>As a supplier, I want to submit an invoice against a purchase order so that payment can be processed.</x:v>
      </x:c>
      <x:c r="D47" s="52" t="str">
        <x:v>Invoice number is unique for the supplier; PO reference and invoice document are mandatory; invoice amount is validated.</x:v>
      </x:c>
      <x:c r="E47" s="97" t="n">
        <x:v>5</x:v>
      </x:c>
      <x:c r="F47" s="115" t="str">
        <x:v>High</x:v>
      </x:c>
    </x:row>
    <x:row r="48" ht="58" customHeight="1">
      <x:c r="A48" s="128" t="str">
        <x:v>Three-Way Matching</x:v>
      </x:c>
      <x:c r="B48" s="129" t="str">
        <x:v>US-FIN-02</x:v>
      </x:c>
      <x:c r="C48" s="130" t="str">
        <x:v>As a finance user, I want to compare the purchase order, goods receipt and invoice so that incorrect payments are prevented.</x:v>
      </x:c>
      <x:c r="D48" s="130" t="str">
        <x:v>Quantity and amount mismatches are flagged; only accepted goods are payable; match results are recorded.</x:v>
      </x:c>
      <x:c r="E48" s="129" t="n">
        <x:v>5</x:v>
      </x:c>
      <x:c r="F48" s="131" t="str">
        <x:v>Critical</x:v>
      </x:c>
    </x:row>
    <x:row r="49" ht="58" customHeight="1">
      <x:c r="A49" s="86" t="str">
        <x:v>Approve Invoice</x:v>
      </x:c>
      <x:c r="B49" s="97" t="str">
        <x:v>US-FIN-03</x:v>
      </x:c>
      <x:c r="C49" s="52" t="str">
        <x:v>As a finance user, I want to approve or reject an invoice so that only valid invoices proceed to payment.</x:v>
      </x:c>
      <x:c r="D49" s="52" t="str">
        <x:v>Only verified invoices can be approved; rejection reason is mandatory; invoice status and decision history are updated.</x:v>
      </x:c>
      <x:c r="E49" s="97" t="n">
        <x:v>3</x:v>
      </x:c>
      <x:c r="F49" s="115" t="str">
        <x:v>Critical</x:v>
      </x:c>
    </x:row>
    <x:row r="50" ht="58" customHeight="1">
      <x:c r="A50" s="128" t="str">
        <x:v>Record Payment</x:v>
      </x:c>
      <x:c r="B50" s="129" t="str">
        <x:v>US-FIN-04</x:v>
      </x:c>
      <x:c r="C50" s="130" t="str">
        <x:v>As a finance user, I want to record payment details so that invoice payment status is tracked.</x:v>
      </x:c>
      <x:c r="D50" s="130" t="str">
        <x:v>Payment date, amount and reference are mandatory; paid amount cannot exceed approved invoice amount; the supplier is notified.</x:v>
      </x:c>
      <x:c r="E50" s="129" t="n">
        <x:v>3</x:v>
      </x:c>
      <x:c r="F50" s="131" t="str">
        <x:v>High</x:v>
      </x:c>
    </x:row>
    <x:row r="51" ht="58" customHeight="1">
      <x:c r="A51" s="86" t="str">
        <x:v>Track Delivery Performance</x:v>
      </x:c>
      <x:c r="B51" s="97" t="str">
        <x:v>US-PERF-01</x:v>
      </x:c>
      <x:c r="C51" s="52" t="str">
        <x:v>As a procurement manager, I want to track on-time deliveries so that supplier reliability can be measured.</x:v>
      </x:c>
      <x:c r="D51" s="52" t="str">
        <x:v>Actual delivery date is compared with promised delivery date; partial deliveries are included; the result is linked to the supplier.</x:v>
      </x:c>
      <x:c r="E51" s="97" t="n">
        <x:v>3</x:v>
      </x:c>
      <x:c r="F51" s="115" t="str">
        <x:v>High</x:v>
      </x:c>
    </x:row>
    <x:row r="52" ht="58" customHeight="1">
      <x:c r="A52" s="128" t="str">
        <x:v>Track Quality Performance</x:v>
      </x:c>
      <x:c r="B52" s="129" t="str">
        <x:v>US-PERF-02</x:v>
      </x:c>
      <x:c r="C52" s="130" t="str">
        <x:v>As a procurement manager, I want to track accepted and rejected quantities so that supplier quality can be evaluated.</x:v>
      </x:c>
      <x:c r="D52" s="130" t="str">
        <x:v>Quality rate is calculated from completed inspections; supplier and period filters are available.</x:v>
      </x:c>
      <x:c r="E52" s="129" t="n">
        <x:v>3</x:v>
      </x:c>
      <x:c r="F52" s="131" t="str">
        <x:v>High</x:v>
      </x:c>
    </x:row>
    <x:row r="53" ht="58" customHeight="1">
      <x:c r="A53" s="86" t="str">
        <x:v>Supplier Performance Report</x:v>
      </x:c>
      <x:c r="B53" s="97" t="str">
        <x:v>US-PERF-03</x:v>
      </x:c>
      <x:c r="C53" s="52" t="str">
        <x:v>As a procurement manager, I want to view supplier performance reports so that future sourcing decisions are improved.</x:v>
      </x:c>
      <x:c r="D53" s="52" t="str">
        <x:v>The report shows quotation response, pricing, quality and delivery performance; data can be filtered by supplier and period.</x:v>
      </x:c>
      <x:c r="E53" s="97" t="n">
        <x:v>5</x:v>
      </x:c>
      <x:c r="F53" s="115" t="str">
        <x:v>High</x:v>
      </x:c>
    </x:row>
    <x:row r="54" ht="58" customHeight="1">
      <x:c r="A54" s="128" t="str">
        <x:v>Spend Dashboard</x:v>
      </x:c>
      <x:c r="B54" s="129" t="str">
        <x:v>US-REP-01</x:v>
      </x:c>
      <x:c r="C54" s="130" t="str">
        <x:v>As a procurement manager, I want to view procurement spending so that expenditure can be monitored.</x:v>
      </x:c>
      <x:c r="D54" s="130" t="str">
        <x:v>Total spend is shown by supplier, category, client and time period; values are based on approved purchase orders.</x:v>
      </x:c>
      <x:c r="E54" s="129" t="n">
        <x:v>5</x:v>
      </x:c>
      <x:c r="F54" s="131" t="str">
        <x:v>High</x:v>
      </x:c>
    </x:row>
    <x:row r="55" ht="58" customHeight="1">
      <x:c r="A55" s="86" t="str">
        <x:v>Procurement Status Report</x:v>
      </x:c>
      <x:c r="B55" s="97" t="str">
        <x:v>US-REP-02</x:v>
      </x:c>
      <x:c r="C55" s="52" t="str">
        <x:v>As a procurement manager, I want to view procurement status reports so that delayed processes can be identified.</x:v>
      </x:c>
      <x:c r="D55" s="52" t="str">
        <x:v>Requirements, RFQs, approvals, purchase orders and deliveries can be filtered by status and date.</x:v>
      </x:c>
      <x:c r="E55" s="97" t="n">
        <x:v>3</x:v>
      </x:c>
      <x:c r="F55" s="115" t="str">
        <x:v>High</x:v>
      </x:c>
    </x:row>
    <x:row r="56" ht="58" customHeight="1">
      <x:c r="A56" s="128" t="str">
        <x:v>Export Reports</x:v>
      </x:c>
      <x:c r="B56" s="129" t="str">
        <x:v>US-REP-03</x:v>
      </x:c>
      <x:c r="C56" s="130" t="str">
        <x:v>As an authorised user, I want to export reports so that information can be shared externally.</x:v>
      </x:c>
      <x:c r="D56" s="130" t="str">
        <x:v>Displayed data can be exported to Excel or PDF; exported values match the selected filters; access permissions are enforced.</x:v>
      </x:c>
      <x:c r="E56" s="129" t="n">
        <x:v>3</x:v>
      </x:c>
      <x:c r="F56" s="131" t="str">
        <x:v>Medium</x:v>
      </x:c>
    </x:row>
    <x:row r="57" ht="58" customHeight="1">
      <x:c r="A57" s="86" t="str">
        <x:v>In-Application Notifications</x:v>
      </x:c>
      <x:c r="B57" s="97" t="str">
        <x:v>US-NOT-01</x:v>
      </x:c>
      <x:c r="C57" s="52" t="str">
        <x:v>As a user, I want to receive notifications so that I can take required actions on time.</x:v>
      </x:c>
      <x:c r="D57" s="52" t="str">
        <x:v>Notifications are created for submissions, approvals, RFQs, purchase orders, deliveries, invoices and payments; users can mark them as read.</x:v>
      </x:c>
      <x:c r="E57" s="97" t="n">
        <x:v>5</x:v>
      </x:c>
      <x:c r="F57" s="115" t="str">
        <x:v>High</x:v>
      </x:c>
    </x:row>
    <x:row r="58" ht="58" customHeight="1">
      <x:c r="A58" s="128" t="str">
        <x:v>Deadline Reminders</x:v>
      </x:c>
      <x:c r="B58" s="129" t="str">
        <x:v>US-NOT-02</x:v>
      </x:c>
      <x:c r="C58" s="130" t="str">
        <x:v>As a supplier or procurement manager, I want deadline reminders so that RFQ responses are not missed.</x:v>
      </x:c>
      <x:c r="D58" s="130" t="str">
        <x:v>A reminder is generated before the configured RFQ deadline; only relevant active users receive it; duplicate reminders are controlled.</x:v>
      </x:c>
      <x:c r="E58" s="129" t="n">
        <x:v>3</x:v>
      </x:c>
      <x:c r="F58" s="131" t="str">
        <x:v>Medium</x:v>
      </x:c>
    </x:row>
    <x:row r="59" ht="58" customHeight="1">
      <x:c r="A59" s="88" t="str">
        <x:v>Audit Log</x:v>
      </x:c>
      <x:c r="B59" s="98" t="str">
        <x:v>US-AUD-01</x:v>
      </x:c>
      <x:c r="C59" s="55" t="str">
        <x:v>As an administrator, I want to view audit records so that important system activities can be traced.</x:v>
      </x:c>
      <x:c r="D59" s="55" t="str">
        <x:v>User, action, date, time and affected record are captured; logs cannot be edited or deleted through the application; access is restricted.</x:v>
      </x:c>
      <x:c r="E59" s="98" t="n">
        <x:v>5</x:v>
      </x:c>
      <x:c r="F59" s="116" t="str">
        <x:v>High</x:v>
      </x:c>
    </x:row>
  </x:sheetData>
  <x:conditionalFormatting sqref="F2:F59">
    <x:cfRule type="expression" dxfId="0" priority="1">
      <x:formula>F2="Critical"</x:formula>
    </x:cfRule>
    <x:cfRule type="expression" dxfId="1" priority="2">
      <x:formula>F2="High"</x:formula>
    </x:cfRule>
    <x:cfRule type="expression" dxfId="2" priority="3">
      <x:formula>F2="Medium"</x:formula>
    </x:cfRule>
  </x:conditionalFormatting>
  <x:conditionalFormatting sqref="E2:E59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{EF92B614-8A3B-3CC7-DE28-5EDFEC433421}</x14:id>
        </x:ext>
      </x:extLst>
    </x:cfRule>
  </x:conditionalFormatting>
  <x:dataValidations count="2">
    <x:dataValidation type="list" sqref="E2:E59">
      <x:formula1>"1,2,3,5,8,13"</x:formula1>
    </x:dataValidation>
    <x:dataValidation type="list" sqref="F2:F59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a72d3f04f6410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F92B614-8A3B-3CC7-DE28-5EDFEC433421}">
            <x14:dataBar gradient="1">
              <x14:cfvo type="min"/>
              <x14:cfvo type="max"/>
              <x14:fillColor rgb="FF5B9BD5"/>
            </x14:dataBar>
          </x14:cfRule>
          <xm:sqref>E2:E59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6" hidden="0" customWidth="1"/>
    <x:col min="3" max="3" width="3" hidden="0" customWidth="1"/>
    <x:col min="4" max="4" width="16" hidden="0" customWidth="1"/>
    <x:col min="5" max="5" width="20" hidden="0" customWidth="1"/>
    <x:col min="6" max="6" width="58" hidden="0" customWidth="1"/>
  </x:cols>
  <x:sheetData>
    <x:row r="1" ht="30" customHeight="1">
      <x:c r="A1" s="138" t="str">
        <x:v>Procurement &amp; Sourcing Product Backlog Summary</x:v>
      </x:c>
      <x:c r="B1" s="138"/>
      <x:c r="C1" s="138"/>
      <x:c r="D1" s="138"/>
      <x:c r="E1" s="138"/>
      <x:c r="F1" s="138"/>
    </x:row>
    <x:row r="3">
      <x:c r="A3" s="13" t="str">
        <x:v>Metric</x:v>
      </x:c>
      <x:c r="B3" s="15" t="str">
        <x:v>Value</x:v>
      </x:c>
      <x:c r="D3" s="13" t="str">
        <x:v>Suggested Agile Release Plan</x:v>
      </x:c>
      <x:c r="E3" s="14"/>
      <x:c r="F3" s="15"/>
    </x:row>
    <x:row r="4" ht="42" customHeight="1">
      <x:c r="A4" s="148" t="str">
        <x:v>Total User Stories</x:v>
      </x:c>
      <x:c r="B4" s="166" t="n">
        <x:f>COUNTA('Product Backlog'!B2:B59)</x:f>
        <x:v>58</x:v>
      </x:c>
      <x:c r="D4" s="221" t="str">
        <x:v>Release 1</x:v>
      </x:c>
      <x:c r="E4" s="222" t="str">
        <x:v>Foundation</x:v>
      </x:c>
      <x:c r="F4" s="194" t="str">
        <x:v>Authentication, users, master data, stock check and procurement requirements</x:v>
      </x:c>
    </x:row>
    <x:row r="5" ht="42" customHeight="1">
      <x:c r="A5" s="150" t="str">
        <x:v>Total Story Points</x:v>
      </x:c>
      <x:c r="B5" s="167" t="n">
        <x:f>SUM('Product Backlog'!E2:E59)</x:f>
        <x:v>216</x:v>
      </x:c>
      <x:c r="D5" s="223" t="str">
        <x:v>Release 2</x:v>
      </x:c>
      <x:c r="E5" s="224" t="str">
        <x:v>Sourcing</x:v>
      </x:c>
      <x:c r="F5" s="197" t="str">
        <x:v>RFQs, supplier quotations, comparison, scoring and supplier selection</x:v>
      </x:c>
    </x:row>
    <x:row r="6" ht="42" customHeight="1">
      <x:c r="A6" s="152" t="str">
        <x:v>Average Story Points</x:v>
      </x:c>
      <x:c r="B6" s="172" t="n">
        <x:f>B5/B4</x:f>
        <x:v>3.7241379310344827</x:v>
      </x:c>
      <x:c r="D6" s="223" t="str">
        <x:v>Release 3</x:v>
      </x:c>
      <x:c r="E6" s="224" t="str">
        <x:v>Purchasing</x:v>
      </x:c>
      <x:c r="F6" s="197" t="str">
        <x:v>Approval workflow, purchase order generation and PO tracking</x:v>
      </x:c>
    </x:row>
    <x:row r="7" ht="42" customHeight="1">
      <x:c r="D7" s="223" t="str">
        <x:v>Release 4</x:v>
      </x:c>
      <x:c r="E7" s="224" t="str">
        <x:v>Receiving &amp; Finance</x:v>
      </x:c>
      <x:c r="F7" s="197" t="str">
        <x:v>Goods receipt, quality, inventory, invoices and payments</x:v>
      </x:c>
    </x:row>
    <x:row r="8" ht="42" customHeight="1">
      <x:c r="A8" s="13" t="str">
        <x:v>Business Priority</x:v>
      </x:c>
      <x:c r="B8" s="15" t="str">
        <x:v>Story Count</x:v>
      </x:c>
      <x:c r="D8" s="225" t="str">
        <x:v>Release 5</x:v>
      </x:c>
      <x:c r="E8" s="226" t="str">
        <x:v>Monitoring</x:v>
      </x:c>
      <x:c r="F8" s="200" t="str">
        <x:v>Supplier performance, spend analysis, reports, notifications and audit</x:v>
      </x:c>
    </x:row>
    <x:row r="9">
      <x:c r="A9" s="142" t="str">
        <x:v>Critical</x:v>
      </x:c>
      <x:c r="B9" s="174" t="n">
        <x:f>COUNTIF('Product Backlog'!F2:F59,"Critical")</x:f>
        <x:v>26</x:v>
      </x:c>
    </x:row>
    <x:row r="10">
      <x:c r="A10" s="144" t="str">
        <x:v>High</x:v>
      </x:c>
      <x:c r="B10" s="175" t="n">
        <x:f>COUNTIF('Product Backlog'!F2:F59,"High")</x:f>
        <x:v>27</x:v>
      </x:c>
    </x:row>
    <x:row r="11">
      <x:c r="A11" s="146" t="str">
        <x:v>Medium</x:v>
      </x:c>
      <x:c r="B11" s="176" t="n">
        <x:f>COUNTIF('Product Backlog'!F2:F59,"Medium")</x:f>
        <x:v>5</x:v>
      </x:c>
    </x:row>
  </x:sheetData>
  <x:mergeCells>
    <x:mergeCell ref="A1:F1"/>
    <x:mergeCell ref="D3:F3"/>
  </x:mergeCells>
  <x:pageMargins left="0.7" right="0.7" top="0.75" bottom="0.75" header="0.3" footer="0.3"/>
  <x:drawing xmlns:r="http://schemas.openxmlformats.org/officeDocument/2006/relationships" r:id="R79518db36aa74891"/>
</x:worksheet>
</file>